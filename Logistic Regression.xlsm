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\vba\"/>
    </mc:Choice>
  </mc:AlternateContent>
  <xr:revisionPtr revIDLastSave="0" documentId="13_ncr:1_{C01B4F09-327D-40D8-A2E9-3517D058A82D}" xr6:coauthVersionLast="36" xr6:coauthVersionMax="40" xr10:uidLastSave="{00000000-0000-0000-0000-000000000000}"/>
  <bookViews>
    <workbookView xWindow="0" yWindow="0" windowWidth="23040" windowHeight="10128" xr2:uid="{DB02CBED-9A68-482B-86A1-F23DF8E512F1}"/>
  </bookViews>
  <sheets>
    <sheet name="Sheet2" sheetId="2" r:id="rId1"/>
    <sheet name="Sigmoid" sheetId="7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" i="7"/>
  <c r="H9" i="2" l="1"/>
  <c r="M14" i="2"/>
  <c r="M12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M13" i="2" l="1"/>
  <c r="M15" i="2" s="1"/>
  <c r="M11" i="2"/>
</calcChain>
</file>

<file path=xl/sharedStrings.xml><?xml version="1.0" encoding="utf-8"?>
<sst xmlns="http://schemas.openxmlformats.org/spreadsheetml/2006/main" count="23" uniqueCount="18">
  <si>
    <t>A</t>
  </si>
  <si>
    <t>B</t>
  </si>
  <si>
    <t>C</t>
  </si>
  <si>
    <t>D</t>
  </si>
  <si>
    <t>X0</t>
  </si>
  <si>
    <t>Y</t>
  </si>
  <si>
    <t>Coefficients</t>
  </si>
  <si>
    <t>Initial</t>
  </si>
  <si>
    <t>Final</t>
  </si>
  <si>
    <t>A0</t>
  </si>
  <si>
    <t>Data</t>
  </si>
  <si>
    <t>Prediction</t>
  </si>
  <si>
    <t>Root Mean Square Error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</si>
  <si>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</si>
  <si>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Sum Of Square Residuals</t>
  </si>
  <si>
    <t>Sum Of Square Total</t>
  </si>
  <si>
    <t>Mean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</si>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</sst>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</a:t>
            </a:r>
            <a:r>
              <a:rPr lang="en-US" baseline="0"/>
              <a:t> Function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Sigmoid!$B$1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Sigmoid!$A$2:$A$22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Sigmoid!$B$2:$B$22</c:f>
              <c:numCache>
                <c:formatCode>General</c:formatCode>
                <c:ptCount val="21"/>
                <c:pt idx="0">
                  <c:v>4.5397868702434395E-5</c:v>
                </c:pt>
                <c:pt idx="1">
                  <c:v>1.2339457598623172E-4</c:v>
                </c:pt>
                <c:pt idx="2">
                  <c:v>3.3535013046647811E-4</c:v>
                </c:pt>
                <c:pt idx="3">
                  <c:v>9.1105119440064539E-4</c:v>
                </c:pt>
                <c:pt idx="4">
                  <c:v>2.4726231566347743E-3</c:v>
                </c:pt>
                <c:pt idx="5">
                  <c:v>6.6928509242848554E-3</c:v>
                </c:pt>
                <c:pt idx="6">
                  <c:v>1.7986209962091559E-2</c:v>
                </c:pt>
                <c:pt idx="7">
                  <c:v>4.7425873177566781E-2</c:v>
                </c:pt>
                <c:pt idx="8">
                  <c:v>0.11920292202211755</c:v>
                </c:pt>
                <c:pt idx="9">
                  <c:v>0.2689414213699951</c:v>
                </c:pt>
                <c:pt idx="10">
                  <c:v>0.5</c:v>
                </c:pt>
                <c:pt idx="11">
                  <c:v>0.7310585786300049</c:v>
                </c:pt>
                <c:pt idx="12">
                  <c:v>0.88079707797788231</c:v>
                </c:pt>
                <c:pt idx="13">
                  <c:v>0.95257412682243336</c:v>
                </c:pt>
                <c:pt idx="14">
                  <c:v>0.98201379003790845</c:v>
                </c:pt>
                <c:pt idx="15">
                  <c:v>0.99330714907571527</c:v>
                </c:pt>
                <c:pt idx="16">
                  <c:v>0.99752737684336534</c:v>
                </c:pt>
                <c:pt idx="17">
                  <c:v>0.9990889488055994</c:v>
                </c:pt>
                <c:pt idx="18">
                  <c:v>0.99966464986953363</c:v>
                </c:pt>
                <c:pt idx="19">
                  <c:v>0.99987660542401369</c:v>
                </c:pt>
                <c:pt idx="20">
                  <c:v>0.99995460213129761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A9-4236-827C-8A5B9F008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296552"/>
        <c:axId val="1264293600"/>
      </c:scatterChart>
      <c:valAx>
        <c:axId val="126429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293600"/>
        <c:crosses val="autoZero"/>
        <c:crossBetween val="midCat"/>
      </c:valAx>
      <c:valAx>
        <c:axId val="126429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29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582930</xdr:colOff>
      <xdr:row>1</xdr:row>
      <xdr:rowOff>49530</xdr:rowOff>
    </xdr:from>
    <xdr:to>
      <xdr:col>10</xdr:col>
      <xdr:colOff>278130</xdr:colOff>
      <xdr:row>16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8763F7-6CDA-4897-BB3D-1C372183C9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CFA01-9D20-4D0D-9F35-C205E1316215}">
  <sheetPr codeName="Sheet2"/>
  <dimension ref="A1:M58"/>
  <sheetViews>
    <sheetView tabSelected="1" workbookViewId="0">
      <selection activeCell="L18" sqref="L18"/>
    </sheetView>
  </sheetViews>
  <sheetFormatPr defaultRowHeight="14.4" x14ac:dyDescent="0.3"/>
  <cols>
    <col min="1" max="1" width="10.77734375" bestFit="1" customWidth="1"/>
    <col min="2" max="2" width="8.33203125" bestFit="1" customWidth="1"/>
    <col min="3" max="3" width="5.5546875" bestFit="1" customWidth="1"/>
    <col min="4" max="6" width="5" bestFit="1" customWidth="1"/>
    <col min="7" max="7" width="8.109375" bestFit="1" customWidth="1"/>
    <col min="12" max="12" width="20.88671875" bestFit="1" customWidth="1"/>
    <col min="14" max="14" width="10.77734375" bestFit="1" customWidth="1"/>
  </cols>
  <sheetData>
    <row r="1" spans="1:13" x14ac:dyDescent="0.3">
      <c r="A1" s="1" t="s">
        <v>6</v>
      </c>
      <c r="B1" t="s">
        <v>7</v>
      </c>
      <c r="C1" s="1" t="s">
        <v>8</v>
      </c>
    </row>
    <row r="2" spans="1:13" x14ac:dyDescent="0.3">
      <c r="A2" t="s">
        <v>9</v>
      </c>
      <c r="B2">
        <v>0</v>
      </c>
      <c r="C2">
        <v>4.7308626745298135E-2</v>
      </c>
    </row>
    <row r="3" spans="1:13" x14ac:dyDescent="0.3">
      <c r="A3" t="s">
        <v>0</v>
      </c>
      <c r="B3">
        <v>0</v>
      </c>
      <c r="C3">
        <v>7.9276605045511331E-2</v>
      </c>
    </row>
    <row r="4" spans="1:13" x14ac:dyDescent="0.3">
      <c r="A4" t="s">
        <v>1</v>
      </c>
      <c r="B4">
        <v>0</v>
      </c>
      <c r="C4">
        <v>0.1781853601452181</v>
      </c>
    </row>
    <row r="5" spans="1:13" x14ac:dyDescent="0.3">
      <c r="A5" t="s">
        <v>2</v>
      </c>
      <c r="B5">
        <v>0</v>
      </c>
      <c r="C5">
        <v>0.27741780404352684</v>
      </c>
    </row>
    <row r="6" spans="1:13" x14ac:dyDescent="0.3">
      <c r="A6" t="s">
        <v>3</v>
      </c>
      <c r="B6">
        <v>0</v>
      </c>
      <c r="C6">
        <v>0.46874842030673064</v>
      </c>
    </row>
    <row r="8" spans="1:13" x14ac:dyDescent="0.3">
      <c r="A8" t="s">
        <v>10</v>
      </c>
      <c r="B8" t="s">
        <v>4</v>
      </c>
      <c r="C8" t="s">
        <v>0</v>
      </c>
      <c r="D8" t="s">
        <v>1</v>
      </c>
      <c r="E8" t="s">
        <v>2</v>
      </c>
      <c r="F8" t="s">
        <v>3</v>
      </c>
      <c r="G8" t="s">
        <v>5</v>
      </c>
      <c r="H8" t="s">
        <v>11</v>
      </c>
    </row>
    <row r="9" spans="1:13" x14ac:dyDescent="0.3">
      <c r="A9">
        <v>1</v>
      </c>
      <c r="B9">
        <v>1</v>
      </c>
      <c r="C9">
        <v>0.04</v>
      </c>
      <c r="D9">
        <v>0.14000000000000001</v>
      </c>
      <c r="E9">
        <v>0.09</v>
      </c>
      <c r="F9">
        <v>1</v>
      </c>
      <c r="G9">
        <v>0.55899999999999994</v>
      </c>
      <c r="H9">
        <f>$C$2+C9*$C$3+D9*$C$4+E9*$C$5+F9*$C$6</f>
        <v>0.56914166403809718</v>
      </c>
    </row>
    <row r="10" spans="1:13" x14ac:dyDescent="0.3">
      <c r="A10">
        <v>2</v>
      </c>
      <c r="B10">
        <v>1</v>
      </c>
      <c r="C10">
        <v>0.14000000000000001</v>
      </c>
      <c r="D10">
        <v>0.97</v>
      </c>
      <c r="E10">
        <v>0.3</v>
      </c>
      <c r="F10">
        <v>0.34</v>
      </c>
      <c r="G10">
        <v>0.46800000000000008</v>
      </c>
      <c r="H10">
        <f t="shared" ref="H10:H58" si="0">$C$2+C10*$C$3+D10*$C$4+E10*$C$5+F10*$C$6</f>
        <v>0.47384695490987777</v>
      </c>
    </row>
    <row r="11" spans="1:13" x14ac:dyDescent="0.3">
      <c r="A11">
        <v>3</v>
      </c>
      <c r="B11">
        <v>1</v>
      </c>
      <c r="C11">
        <v>0.31</v>
      </c>
      <c r="D11">
        <v>0.96</v>
      </c>
      <c r="E11">
        <v>0.84</v>
      </c>
      <c r="F11">
        <v>0.67</v>
      </c>
      <c r="G11">
        <v>0.81</v>
      </c>
      <c r="H11">
        <f t="shared" si="0"/>
        <v>0.79003471705088812</v>
      </c>
      <c r="L11" t="s">
        <v>12</v>
      </c>
      <c r="M11">
        <f>(SUMPRODUCT((G9:G58-H9:H58)^2))^0.5/COUNT(G9:G58)</f>
        <v>1.8247274931045621E-3</v>
      </c>
    </row>
    <row r="12" spans="1:13" x14ac:dyDescent="0.3">
      <c r="A12">
        <v>4</v>
      </c>
      <c r="B12">
        <v>1</v>
      </c>
      <c r="C12">
        <v>0.22</v>
      </c>
      <c r="D12">
        <v>0.74</v>
      </c>
      <c r="E12">
        <v>0.56999999999999995</v>
      </c>
      <c r="F12">
        <v>0.22</v>
      </c>
      <c r="G12">
        <v>0.45099999999999996</v>
      </c>
      <c r="H12">
        <f t="shared" si="0"/>
        <v>0.45785944713506305</v>
      </c>
      <c r="L12" t="s">
        <v>16</v>
      </c>
      <c r="M12">
        <f>AVERAGE(G9:G58)</f>
        <v>0.51867999999999992</v>
      </c>
    </row>
    <row r="13" spans="1:13" x14ac:dyDescent="0.3">
      <c r="A13">
        <v>5</v>
      </c>
      <c r="B13">
        <v>1</v>
      </c>
      <c r="C13">
        <v>0.56000000000000005</v>
      </c>
      <c r="D13">
        <v>0.09</v>
      </c>
      <c r="E13">
        <v>0.17</v>
      </c>
      <c r="F13">
        <v>0.64</v>
      </c>
      <c r="G13">
        <v>0.44500000000000001</v>
      </c>
      <c r="H13">
        <f t="shared" si="0"/>
        <v>0.45490022366756128</v>
      </c>
      <c r="L13" t="s">
        <v>14</v>
      </c>
      <c r="M13">
        <f>SUMPRODUCT((G9:G58-H9:H58)^2)</f>
        <v>8.3240760602291478E-3</v>
      </c>
    </row>
    <row r="14" spans="1:13" x14ac:dyDescent="0.3">
      <c r="A14">
        <v>6</v>
      </c>
      <c r="B14">
        <v>1</v>
      </c>
      <c r="C14">
        <v>0.62</v>
      </c>
      <c r="D14">
        <v>0.33</v>
      </c>
      <c r="E14">
        <v>0.69</v>
      </c>
      <c r="F14">
        <v>0.7</v>
      </c>
      <c r="G14">
        <v>0.68499999999999994</v>
      </c>
      <c r="H14">
        <f t="shared" si="0"/>
        <v>0.6748034697261821</v>
      </c>
      <c r="L14" t="s">
        <v>15</v>
      </c>
      <c r="M14">
        <f>SUMPRODUCT((G9:G58-M12)^2)</f>
        <v>1.3591968800000001</v>
      </c>
    </row>
    <row r="15" spans="1:13" ht="16.2" x14ac:dyDescent="0.3">
      <c r="A15">
        <v>7</v>
      </c>
      <c r="B15">
        <v>1</v>
      </c>
      <c r="C15">
        <v>0.37</v>
      </c>
      <c r="D15">
        <v>0.02</v>
      </c>
      <c r="E15">
        <v>0.02</v>
      </c>
      <c r="F15">
        <v>0.2</v>
      </c>
      <c r="G15">
        <v>0.14699999999999999</v>
      </c>
      <c r="H15">
        <f t="shared" si="0"/>
        <v>0.17950271795725836</v>
      </c>
      <c r="L15" t="s">
        <v>13</v>
      </c>
      <c r="M15">
        <f>1-(M13/M14)</f>
        <v>0.99387573928198747</v>
      </c>
    </row>
    <row r="16" spans="1:13" x14ac:dyDescent="0.3">
      <c r="A16">
        <v>8</v>
      </c>
      <c r="B16">
        <v>1</v>
      </c>
      <c r="C16">
        <v>0.36</v>
      </c>
      <c r="D16">
        <v>0.95</v>
      </c>
      <c r="E16">
        <v>0.62</v>
      </c>
      <c r="F16">
        <v>0.68</v>
      </c>
      <c r="G16">
        <v>0.752</v>
      </c>
      <c r="H16">
        <f t="shared" si="0"/>
        <v>0.73587226101520287</v>
      </c>
    </row>
    <row r="17" spans="1:8" x14ac:dyDescent="0.3">
      <c r="A17">
        <v>9</v>
      </c>
      <c r="B17">
        <v>1</v>
      </c>
      <c r="C17">
        <v>0.43</v>
      </c>
      <c r="D17">
        <v>0.39</v>
      </c>
      <c r="E17">
        <v>0.32</v>
      </c>
      <c r="F17">
        <v>0.81</v>
      </c>
      <c r="G17">
        <v>0.62200000000000011</v>
      </c>
      <c r="H17">
        <f t="shared" si="0"/>
        <v>0.61934977511388345</v>
      </c>
    </row>
    <row r="18" spans="1:8" x14ac:dyDescent="0.3">
      <c r="A18">
        <v>10</v>
      </c>
      <c r="B18">
        <v>1</v>
      </c>
      <c r="C18">
        <v>0.03</v>
      </c>
      <c r="D18">
        <v>0.17</v>
      </c>
      <c r="E18">
        <v>0.56999999999999995</v>
      </c>
      <c r="F18">
        <v>0.2</v>
      </c>
      <c r="G18">
        <v>0.308</v>
      </c>
      <c r="H18">
        <f t="shared" si="0"/>
        <v>0.33185626848750699</v>
      </c>
    </row>
    <row r="19" spans="1:8" x14ac:dyDescent="0.3">
      <c r="A19">
        <v>11</v>
      </c>
      <c r="B19">
        <v>1</v>
      </c>
      <c r="C19">
        <v>0.94</v>
      </c>
      <c r="D19">
        <v>0.38</v>
      </c>
      <c r="E19">
        <v>0.83</v>
      </c>
      <c r="F19">
        <v>0.3</v>
      </c>
      <c r="G19">
        <v>0.56899999999999995</v>
      </c>
      <c r="H19">
        <f t="shared" si="0"/>
        <v>0.56042037579140813</v>
      </c>
    </row>
    <row r="20" spans="1:8" x14ac:dyDescent="0.3">
      <c r="A20">
        <v>12</v>
      </c>
      <c r="B20">
        <v>1</v>
      </c>
      <c r="C20">
        <v>0.56000000000000005</v>
      </c>
      <c r="D20">
        <v>0.32</v>
      </c>
      <c r="E20">
        <v>0.21</v>
      </c>
      <c r="F20">
        <v>0.42</v>
      </c>
      <c r="G20">
        <v>0.39300000000000002</v>
      </c>
      <c r="H20">
        <f t="shared" si="0"/>
        <v>0.40385491619522179</v>
      </c>
    </row>
    <row r="21" spans="1:8" x14ac:dyDescent="0.3">
      <c r="A21">
        <v>13</v>
      </c>
      <c r="B21">
        <v>1</v>
      </c>
      <c r="C21">
        <v>0.25</v>
      </c>
      <c r="D21">
        <v>0.05</v>
      </c>
      <c r="E21">
        <v>0.5</v>
      </c>
      <c r="F21">
        <v>0.64</v>
      </c>
      <c r="G21">
        <v>0.505</v>
      </c>
      <c r="H21">
        <f t="shared" si="0"/>
        <v>0.51474493703200785</v>
      </c>
    </row>
    <row r="22" spans="1:8" x14ac:dyDescent="0.3">
      <c r="A22">
        <v>14</v>
      </c>
      <c r="B22">
        <v>1</v>
      </c>
      <c r="C22">
        <v>0.01</v>
      </c>
      <c r="D22">
        <v>0.99</v>
      </c>
      <c r="E22">
        <v>0.04</v>
      </c>
      <c r="F22">
        <v>0.1</v>
      </c>
      <c r="G22">
        <v>0.26100000000000001</v>
      </c>
      <c r="H22">
        <f t="shared" si="0"/>
        <v>0.28247645353193329</v>
      </c>
    </row>
    <row r="23" spans="1:8" x14ac:dyDescent="0.3">
      <c r="A23">
        <v>15</v>
      </c>
      <c r="B23">
        <v>1</v>
      </c>
      <c r="C23">
        <v>0.33</v>
      </c>
      <c r="D23">
        <v>0.03</v>
      </c>
      <c r="E23">
        <v>0.73</v>
      </c>
      <c r="F23">
        <v>0.84</v>
      </c>
      <c r="G23">
        <v>0.67799999999999994</v>
      </c>
      <c r="H23">
        <f t="shared" si="0"/>
        <v>0.67507913722410173</v>
      </c>
    </row>
    <row r="24" spans="1:8" x14ac:dyDescent="0.3">
      <c r="A24">
        <v>16</v>
      </c>
      <c r="B24">
        <v>1</v>
      </c>
      <c r="C24">
        <v>0.76</v>
      </c>
      <c r="D24">
        <v>0.33</v>
      </c>
      <c r="E24">
        <v>7.0000000000000007E-2</v>
      </c>
      <c r="F24">
        <v>0.7</v>
      </c>
      <c r="G24">
        <v>0.51300000000000001</v>
      </c>
      <c r="H24">
        <f t="shared" si="0"/>
        <v>0.51390315592556712</v>
      </c>
    </row>
    <row r="25" spans="1:8" x14ac:dyDescent="0.3">
      <c r="A25">
        <v>17</v>
      </c>
      <c r="B25">
        <v>1</v>
      </c>
      <c r="C25">
        <v>0.12</v>
      </c>
      <c r="D25">
        <v>0.53</v>
      </c>
      <c r="E25">
        <v>0.46</v>
      </c>
      <c r="F25">
        <v>0.31</v>
      </c>
      <c r="G25">
        <v>0.41100000000000003</v>
      </c>
      <c r="H25">
        <f t="shared" si="0"/>
        <v>0.42418426038283391</v>
      </c>
    </row>
    <row r="26" spans="1:8" x14ac:dyDescent="0.3">
      <c r="A26">
        <v>18</v>
      </c>
      <c r="B26">
        <v>1</v>
      </c>
      <c r="C26">
        <v>0.55000000000000004</v>
      </c>
      <c r="D26">
        <v>0.63</v>
      </c>
      <c r="E26">
        <v>0.28999999999999998</v>
      </c>
      <c r="F26">
        <v>0.74</v>
      </c>
      <c r="G26">
        <v>0.63800000000000001</v>
      </c>
      <c r="H26">
        <f t="shared" si="0"/>
        <v>0.63049253061142019</v>
      </c>
    </row>
    <row r="27" spans="1:8" x14ac:dyDescent="0.3">
      <c r="A27">
        <v>19</v>
      </c>
      <c r="B27">
        <v>1</v>
      </c>
      <c r="C27">
        <v>0.49</v>
      </c>
      <c r="D27">
        <v>0.26</v>
      </c>
      <c r="E27">
        <v>0.59</v>
      </c>
      <c r="F27">
        <v>0.48</v>
      </c>
      <c r="G27">
        <v>0.51800000000000002</v>
      </c>
      <c r="H27">
        <f t="shared" si="0"/>
        <v>0.52115810298826692</v>
      </c>
    </row>
    <row r="28" spans="1:8" x14ac:dyDescent="0.3">
      <c r="A28">
        <v>20</v>
      </c>
      <c r="B28">
        <v>1</v>
      </c>
      <c r="C28">
        <v>0.77</v>
      </c>
      <c r="D28">
        <v>0.13</v>
      </c>
      <c r="E28">
        <v>0.51</v>
      </c>
      <c r="F28">
        <v>0.28000000000000003</v>
      </c>
      <c r="G28">
        <v>0.39600000000000002</v>
      </c>
      <c r="H28">
        <f t="shared" si="0"/>
        <v>0.40424834719730351</v>
      </c>
    </row>
    <row r="29" spans="1:8" x14ac:dyDescent="0.3">
      <c r="A29">
        <v>21</v>
      </c>
      <c r="B29">
        <v>1</v>
      </c>
      <c r="C29">
        <v>0.99</v>
      </c>
      <c r="D29">
        <v>0.62</v>
      </c>
      <c r="E29">
        <v>0.8</v>
      </c>
      <c r="F29">
        <v>0.17</v>
      </c>
      <c r="G29">
        <v>0.54799999999999993</v>
      </c>
      <c r="H29">
        <f t="shared" si="0"/>
        <v>0.53788886371735523</v>
      </c>
    </row>
    <row r="30" spans="1:8" x14ac:dyDescent="0.3">
      <c r="A30">
        <v>22</v>
      </c>
      <c r="B30">
        <v>1</v>
      </c>
      <c r="C30">
        <v>0.97</v>
      </c>
      <c r="D30">
        <v>0.6</v>
      </c>
      <c r="E30">
        <v>0.16</v>
      </c>
      <c r="F30">
        <v>0.08</v>
      </c>
      <c r="G30">
        <v>0.30499999999999999</v>
      </c>
      <c r="H30">
        <f t="shared" si="0"/>
        <v>0.31300487199807769</v>
      </c>
    </row>
    <row r="31" spans="1:8" x14ac:dyDescent="0.3">
      <c r="A31">
        <v>23</v>
      </c>
      <c r="B31">
        <v>1</v>
      </c>
      <c r="C31">
        <v>0.68</v>
      </c>
      <c r="D31">
        <v>0.86</v>
      </c>
      <c r="E31">
        <v>0.46</v>
      </c>
      <c r="F31">
        <v>0.97</v>
      </c>
      <c r="G31">
        <v>0.86299999999999999</v>
      </c>
      <c r="H31">
        <f t="shared" si="0"/>
        <v>0.83675428545868447</v>
      </c>
    </row>
    <row r="32" spans="1:8" x14ac:dyDescent="0.3">
      <c r="A32">
        <v>24</v>
      </c>
      <c r="B32">
        <v>1</v>
      </c>
      <c r="C32">
        <v>0.77</v>
      </c>
      <c r="D32">
        <v>0.79</v>
      </c>
      <c r="E32">
        <v>7.0000000000000007E-2</v>
      </c>
      <c r="F32">
        <v>0.14000000000000001</v>
      </c>
      <c r="G32">
        <v>0.32600000000000007</v>
      </c>
      <c r="H32">
        <f t="shared" si="0"/>
        <v>0.33416207227105332</v>
      </c>
    </row>
    <row r="33" spans="1:8" x14ac:dyDescent="0.3">
      <c r="A33">
        <v>25</v>
      </c>
      <c r="B33">
        <v>1</v>
      </c>
      <c r="C33">
        <v>0.54</v>
      </c>
      <c r="D33">
        <v>0.81</v>
      </c>
      <c r="E33">
        <v>0.45</v>
      </c>
      <c r="F33">
        <v>0.04</v>
      </c>
      <c r="G33">
        <v>0.37100000000000005</v>
      </c>
      <c r="H33">
        <f t="shared" si="0"/>
        <v>0.37803608381935722</v>
      </c>
    </row>
    <row r="34" spans="1:8" x14ac:dyDescent="0.3">
      <c r="A34">
        <v>26</v>
      </c>
      <c r="B34">
        <v>1</v>
      </c>
      <c r="C34">
        <v>0.42</v>
      </c>
      <c r="D34">
        <v>0.12</v>
      </c>
      <c r="E34">
        <v>0.26</v>
      </c>
      <c r="F34">
        <v>0.91</v>
      </c>
      <c r="G34">
        <v>0.59899999999999998</v>
      </c>
      <c r="H34">
        <f t="shared" si="0"/>
        <v>0.60067673561228097</v>
      </c>
    </row>
    <row r="35" spans="1:8" x14ac:dyDescent="0.3">
      <c r="A35">
        <v>27</v>
      </c>
      <c r="B35">
        <v>1</v>
      </c>
      <c r="C35">
        <v>0.48</v>
      </c>
      <c r="D35">
        <v>0.17</v>
      </c>
      <c r="E35">
        <v>0.39</v>
      </c>
      <c r="F35">
        <v>0.04</v>
      </c>
      <c r="G35">
        <v>0.219</v>
      </c>
      <c r="H35">
        <f t="shared" si="0"/>
        <v>0.24259578878107535</v>
      </c>
    </row>
    <row r="36" spans="1:8" x14ac:dyDescent="0.3">
      <c r="A36">
        <v>28</v>
      </c>
      <c r="B36">
        <v>1</v>
      </c>
      <c r="C36">
        <v>0.79</v>
      </c>
      <c r="D36">
        <v>0.1</v>
      </c>
      <c r="E36">
        <v>0.43</v>
      </c>
      <c r="F36">
        <v>0.99</v>
      </c>
      <c r="G36">
        <v>0.72300000000000009</v>
      </c>
      <c r="H36">
        <f t="shared" si="0"/>
        <v>0.71110627258815384</v>
      </c>
    </row>
    <row r="37" spans="1:8" x14ac:dyDescent="0.3">
      <c r="A37">
        <v>29</v>
      </c>
      <c r="B37">
        <v>1</v>
      </c>
      <c r="C37">
        <v>0.79</v>
      </c>
      <c r="D37">
        <v>0.33</v>
      </c>
      <c r="E37">
        <v>0.02</v>
      </c>
      <c r="F37">
        <v>0.63</v>
      </c>
      <c r="G37">
        <v>0.46600000000000003</v>
      </c>
      <c r="H37">
        <f t="shared" si="0"/>
        <v>0.46959817445328489</v>
      </c>
    </row>
    <row r="38" spans="1:8" x14ac:dyDescent="0.3">
      <c r="A38">
        <v>30</v>
      </c>
      <c r="B38">
        <v>1</v>
      </c>
      <c r="C38">
        <v>0.49</v>
      </c>
      <c r="D38">
        <v>0.76</v>
      </c>
      <c r="E38">
        <v>0.96</v>
      </c>
      <c r="F38">
        <v>0.44</v>
      </c>
      <c r="G38">
        <v>0.70899999999999996</v>
      </c>
      <c r="H38">
        <f t="shared" si="0"/>
        <v>0.69414543374471172</v>
      </c>
    </row>
    <row r="39" spans="1:8" x14ac:dyDescent="0.3">
      <c r="A39">
        <v>31</v>
      </c>
      <c r="B39">
        <v>1</v>
      </c>
      <c r="C39">
        <v>0.75</v>
      </c>
      <c r="D39">
        <v>0.44</v>
      </c>
      <c r="E39">
        <v>0.75</v>
      </c>
      <c r="F39">
        <v>0.72</v>
      </c>
      <c r="G39">
        <v>0.748</v>
      </c>
      <c r="H39">
        <f t="shared" si="0"/>
        <v>0.73072985464681883</v>
      </c>
    </row>
    <row r="40" spans="1:8" x14ac:dyDescent="0.3">
      <c r="A40">
        <v>32</v>
      </c>
      <c r="B40">
        <v>1</v>
      </c>
      <c r="C40">
        <v>0.34</v>
      </c>
      <c r="D40">
        <v>0.74</v>
      </c>
      <c r="E40">
        <v>0.02</v>
      </c>
      <c r="F40">
        <v>0.28000000000000003</v>
      </c>
      <c r="G40">
        <v>0.32800000000000001</v>
      </c>
      <c r="H40">
        <f t="shared" si="0"/>
        <v>0.34291775273498848</v>
      </c>
    </row>
    <row r="41" spans="1:8" x14ac:dyDescent="0.3">
      <c r="A41">
        <v>33</v>
      </c>
      <c r="B41">
        <v>1</v>
      </c>
      <c r="C41">
        <v>0.26</v>
      </c>
      <c r="D41">
        <v>0.43</v>
      </c>
      <c r="E41">
        <v>0.14000000000000001</v>
      </c>
      <c r="F41">
        <v>0.83</v>
      </c>
      <c r="G41">
        <v>0.56899999999999995</v>
      </c>
      <c r="H41">
        <f t="shared" si="0"/>
        <v>0.57243993034025498</v>
      </c>
    </row>
    <row r="42" spans="1:8" x14ac:dyDescent="0.3">
      <c r="A42">
        <v>34</v>
      </c>
      <c r="B42">
        <v>1</v>
      </c>
      <c r="C42">
        <v>0.8</v>
      </c>
      <c r="D42">
        <v>0.65</v>
      </c>
      <c r="E42">
        <v>0.53</v>
      </c>
      <c r="F42">
        <v>0.44</v>
      </c>
      <c r="G42">
        <v>0.58899999999999997</v>
      </c>
      <c r="H42">
        <f t="shared" si="0"/>
        <v>0.57983113595412972</v>
      </c>
    </row>
    <row r="43" spans="1:8" x14ac:dyDescent="0.3">
      <c r="A43">
        <v>35</v>
      </c>
      <c r="B43">
        <v>1</v>
      </c>
      <c r="C43">
        <v>0.27</v>
      </c>
      <c r="D43">
        <v>0.6</v>
      </c>
      <c r="E43">
        <v>0.46</v>
      </c>
      <c r="F43">
        <v>0.71</v>
      </c>
      <c r="G43">
        <v>0.64</v>
      </c>
      <c r="H43">
        <f t="shared" si="0"/>
        <v>0.6360480944725182</v>
      </c>
    </row>
    <row r="44" spans="1:8" x14ac:dyDescent="0.3">
      <c r="A44">
        <v>36</v>
      </c>
      <c r="B44">
        <v>1</v>
      </c>
      <c r="C44">
        <v>0.43</v>
      </c>
      <c r="D44">
        <v>0.33</v>
      </c>
      <c r="E44">
        <v>0.8</v>
      </c>
      <c r="F44">
        <v>0.46</v>
      </c>
      <c r="G44">
        <v>0.57899999999999996</v>
      </c>
      <c r="H44">
        <f t="shared" si="0"/>
        <v>0.57775725233870756</v>
      </c>
    </row>
    <row r="45" spans="1:8" x14ac:dyDescent="0.3">
      <c r="A45">
        <v>37</v>
      </c>
      <c r="B45">
        <v>1</v>
      </c>
      <c r="C45">
        <v>0.57999999999999996</v>
      </c>
      <c r="D45">
        <v>0.26</v>
      </c>
      <c r="E45">
        <v>0.19</v>
      </c>
      <c r="F45">
        <v>0.27</v>
      </c>
      <c r="G45">
        <v>0.30199999999999999</v>
      </c>
      <c r="H45">
        <f t="shared" si="0"/>
        <v>0.31888870756053878</v>
      </c>
    </row>
    <row r="46" spans="1:8" x14ac:dyDescent="0.3">
      <c r="A46">
        <v>38</v>
      </c>
      <c r="B46">
        <v>1</v>
      </c>
      <c r="C46">
        <v>0.34</v>
      </c>
      <c r="D46">
        <v>0.75</v>
      </c>
      <c r="E46">
        <v>0.78</v>
      </c>
      <c r="F46">
        <v>0.37</v>
      </c>
      <c r="G46">
        <v>0.60299999999999998</v>
      </c>
      <c r="H46">
        <f t="shared" si="0"/>
        <v>0.59772449523712678</v>
      </c>
    </row>
    <row r="47" spans="1:8" x14ac:dyDescent="0.3">
      <c r="A47">
        <v>39</v>
      </c>
      <c r="B47">
        <v>1</v>
      </c>
      <c r="C47">
        <v>0.15</v>
      </c>
      <c r="D47">
        <v>0.52</v>
      </c>
      <c r="E47">
        <v>0.64</v>
      </c>
      <c r="F47">
        <v>0.3</v>
      </c>
      <c r="G47">
        <v>0.46099999999999997</v>
      </c>
      <c r="H47">
        <f t="shared" si="0"/>
        <v>0.47002842545751461</v>
      </c>
    </row>
    <row r="48" spans="1:8" x14ac:dyDescent="0.3">
      <c r="A48">
        <v>40</v>
      </c>
      <c r="B48">
        <v>1</v>
      </c>
      <c r="C48">
        <v>0.13</v>
      </c>
      <c r="D48">
        <v>0.28999999999999998</v>
      </c>
      <c r="E48">
        <v>0.21</v>
      </c>
      <c r="F48">
        <v>0.73</v>
      </c>
      <c r="G48">
        <v>0.499</v>
      </c>
      <c r="H48">
        <f t="shared" si="0"/>
        <v>0.50973242551638187</v>
      </c>
    </row>
    <row r="49" spans="1:8" x14ac:dyDescent="0.3">
      <c r="A49">
        <v>41</v>
      </c>
      <c r="B49">
        <v>1</v>
      </c>
      <c r="C49">
        <v>0.72</v>
      </c>
      <c r="D49">
        <v>0.13</v>
      </c>
      <c r="E49">
        <v>0.82</v>
      </c>
      <c r="F49">
        <v>0.27</v>
      </c>
      <c r="G49">
        <v>0.47899999999999998</v>
      </c>
      <c r="H49">
        <f t="shared" si="0"/>
        <v>0.48159655199545393</v>
      </c>
    </row>
    <row r="50" spans="1:8" x14ac:dyDescent="0.3">
      <c r="A50">
        <v>42</v>
      </c>
      <c r="B50">
        <v>1</v>
      </c>
      <c r="C50">
        <v>0.7</v>
      </c>
      <c r="D50">
        <v>0.59</v>
      </c>
      <c r="E50">
        <v>0.57999999999999996</v>
      </c>
      <c r="F50">
        <v>0.52</v>
      </c>
      <c r="G50">
        <v>0.622</v>
      </c>
      <c r="H50">
        <f t="shared" si="0"/>
        <v>0.61258311766758022</v>
      </c>
    </row>
    <row r="51" spans="1:8" x14ac:dyDescent="0.3">
      <c r="A51">
        <v>43</v>
      </c>
      <c r="B51">
        <v>1</v>
      </c>
      <c r="C51">
        <v>0.14000000000000001</v>
      </c>
      <c r="D51">
        <v>0.02</v>
      </c>
      <c r="E51">
        <v>0.52</v>
      </c>
      <c r="F51">
        <v>0.21</v>
      </c>
      <c r="G51">
        <v>0.27899999999999997</v>
      </c>
      <c r="H51">
        <f t="shared" si="0"/>
        <v>0.3046654850216215</v>
      </c>
    </row>
    <row r="52" spans="1:8" x14ac:dyDescent="0.3">
      <c r="A52">
        <v>44</v>
      </c>
      <c r="B52">
        <v>1</v>
      </c>
      <c r="C52">
        <v>0.88</v>
      </c>
      <c r="D52">
        <v>0.55000000000000004</v>
      </c>
      <c r="E52">
        <v>0.57999999999999996</v>
      </c>
      <c r="F52">
        <v>0.42</v>
      </c>
      <c r="G52">
        <v>0.58199999999999996</v>
      </c>
      <c r="H52">
        <f t="shared" si="0"/>
        <v>0.57285065013929048</v>
      </c>
    </row>
    <row r="53" spans="1:8" x14ac:dyDescent="0.3">
      <c r="A53">
        <v>45</v>
      </c>
      <c r="B53">
        <v>1</v>
      </c>
      <c r="C53">
        <v>0.57999999999999996</v>
      </c>
      <c r="D53">
        <v>0.89</v>
      </c>
      <c r="E53">
        <v>0.43</v>
      </c>
      <c r="F53">
        <v>0.97</v>
      </c>
      <c r="G53">
        <v>0.85</v>
      </c>
      <c r="H53">
        <f t="shared" si="0"/>
        <v>0.82584965163718405</v>
      </c>
    </row>
    <row r="54" spans="1:8" x14ac:dyDescent="0.3">
      <c r="A54">
        <v>46</v>
      </c>
      <c r="B54">
        <v>1</v>
      </c>
      <c r="C54">
        <v>0.94</v>
      </c>
      <c r="D54">
        <v>0.65</v>
      </c>
      <c r="E54">
        <v>0.03</v>
      </c>
      <c r="F54">
        <v>0.18</v>
      </c>
      <c r="G54">
        <v>0.32300000000000001</v>
      </c>
      <c r="H54">
        <f t="shared" si="0"/>
        <v>0.33034636935898787</v>
      </c>
    </row>
    <row r="55" spans="1:8" x14ac:dyDescent="0.3">
      <c r="A55">
        <v>47</v>
      </c>
      <c r="B55">
        <v>1</v>
      </c>
      <c r="C55">
        <v>0.87</v>
      </c>
      <c r="D55">
        <v>0.44</v>
      </c>
      <c r="E55">
        <v>0.56999999999999995</v>
      </c>
      <c r="F55">
        <v>0.14000000000000001</v>
      </c>
      <c r="G55">
        <v>0.41599999999999998</v>
      </c>
      <c r="H55">
        <f t="shared" si="0"/>
        <v>0.41843375874654154</v>
      </c>
    </row>
    <row r="56" spans="1:8" x14ac:dyDescent="0.3">
      <c r="A56">
        <v>48</v>
      </c>
      <c r="B56">
        <v>1</v>
      </c>
      <c r="C56">
        <v>0.59</v>
      </c>
      <c r="D56">
        <v>0.32</v>
      </c>
      <c r="E56">
        <v>0.15</v>
      </c>
      <c r="F56">
        <v>1</v>
      </c>
      <c r="G56">
        <v>0.66799999999999993</v>
      </c>
      <c r="H56">
        <f t="shared" si="0"/>
        <v>0.6614622298818793</v>
      </c>
    </row>
    <row r="57" spans="1:8" x14ac:dyDescent="0.3">
      <c r="A57">
        <v>49</v>
      </c>
      <c r="B57">
        <v>1</v>
      </c>
      <c r="C57">
        <v>0.41</v>
      </c>
      <c r="D57">
        <v>0.81</v>
      </c>
      <c r="E57">
        <v>0.3</v>
      </c>
      <c r="F57">
        <v>0.53</v>
      </c>
      <c r="G57">
        <v>0.55800000000000005</v>
      </c>
      <c r="H57">
        <f t="shared" si="0"/>
        <v>0.55580418050720981</v>
      </c>
    </row>
    <row r="58" spans="1:8" x14ac:dyDescent="0.3">
      <c r="A58">
        <v>50</v>
      </c>
      <c r="B58">
        <v>1</v>
      </c>
      <c r="C58">
        <v>0.38</v>
      </c>
      <c r="D58">
        <v>0.23</v>
      </c>
      <c r="E58">
        <v>0.39</v>
      </c>
      <c r="F58">
        <v>0.76</v>
      </c>
      <c r="G58">
        <v>0.58099999999999996</v>
      </c>
      <c r="H58">
        <f t="shared" si="0"/>
        <v>0.58285811250608333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D515A-FDF8-403E-90FE-FA2AC42FCFEF}">
  <sheetPr codeName="Sheet1"/>
  <dimension ref="A1:B22"/>
  <sheetViews>
    <sheetView workbookViewId="0">
      <selection activeCell="B19" sqref="B19"/>
    </sheetView>
  </sheetViews>
  <sheetFormatPr defaultRowHeight="14.4" x14ac:dyDescent="0.3"/>
  <cols>
    <col min="1" max="1" width="8.88671875" style="2"/>
    <col min="2" max="2" width="12" style="2" bestFit="1" customWidth="1"/>
    <col min="3" max="16384" width="8.88671875" style="2"/>
  </cols>
  <sheetData>
    <row r="1" spans="1:2" x14ac:dyDescent="0.3">
      <c r="A1" s="2" t="s">
        <v>17</v>
      </c>
      <c r="B1" s="2" t="s">
        <v>5</v>
      </c>
    </row>
    <row r="2" spans="1:2" x14ac:dyDescent="0.3">
      <c r="A2" s="2">
        <v>-10</v>
      </c>
      <c r="B2" s="2">
        <f>1/(1+EXP(-A2))</f>
        <v>4.5397868702434395E-5</v>
      </c>
    </row>
    <row r="3" spans="1:2" x14ac:dyDescent="0.3">
      <c r="A3" s="2">
        <v>-9</v>
      </c>
      <c r="B3" s="2">
        <f t="shared" ref="B3:B22" si="0">1/(1+EXP(-A3))</f>
        <v>1.2339457598623172E-4</v>
      </c>
    </row>
    <row r="4" spans="1:2" x14ac:dyDescent="0.3">
      <c r="A4" s="2">
        <v>-8</v>
      </c>
      <c r="B4" s="2">
        <f t="shared" si="0"/>
        <v>3.3535013046647811E-4</v>
      </c>
    </row>
    <row r="5" spans="1:2" x14ac:dyDescent="0.3">
      <c r="A5" s="2">
        <v>-7</v>
      </c>
      <c r="B5" s="2">
        <f t="shared" si="0"/>
        <v>9.1105119440064539E-4</v>
      </c>
    </row>
    <row r="6" spans="1:2" x14ac:dyDescent="0.3">
      <c r="A6" s="2">
        <v>-6</v>
      </c>
      <c r="B6" s="2">
        <f t="shared" si="0"/>
        <v>2.4726231566347743E-3</v>
      </c>
    </row>
    <row r="7" spans="1:2" x14ac:dyDescent="0.3">
      <c r="A7" s="2">
        <v>-5</v>
      </c>
      <c r="B7" s="2">
        <f t="shared" si="0"/>
        <v>6.6928509242848554E-3</v>
      </c>
    </row>
    <row r="8" spans="1:2" x14ac:dyDescent="0.3">
      <c r="A8" s="2">
        <v>-4</v>
      </c>
      <c r="B8" s="2">
        <f t="shared" si="0"/>
        <v>1.7986209962091559E-2</v>
      </c>
    </row>
    <row r="9" spans="1:2" x14ac:dyDescent="0.3">
      <c r="A9" s="2">
        <v>-3</v>
      </c>
      <c r="B9" s="2">
        <f t="shared" si="0"/>
        <v>4.7425873177566781E-2</v>
      </c>
    </row>
    <row r="10" spans="1:2" x14ac:dyDescent="0.3">
      <c r="A10" s="2">
        <v>-2</v>
      </c>
      <c r="B10" s="2">
        <f t="shared" si="0"/>
        <v>0.11920292202211755</v>
      </c>
    </row>
    <row r="11" spans="1:2" x14ac:dyDescent="0.3">
      <c r="A11" s="2">
        <v>-1</v>
      </c>
      <c r="B11" s="2">
        <f t="shared" si="0"/>
        <v>0.2689414213699951</v>
      </c>
    </row>
    <row r="12" spans="1:2" x14ac:dyDescent="0.3">
      <c r="A12" s="2">
        <v>0</v>
      </c>
      <c r="B12" s="2">
        <f t="shared" si="0"/>
        <v>0.5</v>
      </c>
    </row>
    <row r="13" spans="1:2" x14ac:dyDescent="0.3">
      <c r="A13" s="2">
        <v>1</v>
      </c>
      <c r="B13" s="2">
        <f t="shared" si="0"/>
        <v>0.7310585786300049</v>
      </c>
    </row>
    <row r="14" spans="1:2" x14ac:dyDescent="0.3">
      <c r="A14" s="2">
        <v>2</v>
      </c>
      <c r="B14" s="2">
        <f t="shared" si="0"/>
        <v>0.88079707797788231</v>
      </c>
    </row>
    <row r="15" spans="1:2" x14ac:dyDescent="0.3">
      <c r="A15" s="2">
        <v>3</v>
      </c>
      <c r="B15" s="2">
        <f t="shared" si="0"/>
        <v>0.95257412682243336</v>
      </c>
    </row>
    <row r="16" spans="1:2" x14ac:dyDescent="0.3">
      <c r="A16" s="2">
        <v>4</v>
      </c>
      <c r="B16" s="2">
        <f t="shared" si="0"/>
        <v>0.98201379003790845</v>
      </c>
    </row>
    <row r="17" spans="1:2" x14ac:dyDescent="0.3">
      <c r="A17" s="2">
        <v>5</v>
      </c>
      <c r="B17" s="2">
        <f t="shared" si="0"/>
        <v>0.99330714907571527</v>
      </c>
    </row>
    <row r="18" spans="1:2" x14ac:dyDescent="0.3">
      <c r="A18" s="2">
        <v>6</v>
      </c>
      <c r="B18" s="2">
        <f t="shared" si="0"/>
        <v>0.99752737684336534</v>
      </c>
    </row>
    <row r="19" spans="1:2" x14ac:dyDescent="0.3">
      <c r="A19" s="2">
        <v>7</v>
      </c>
      <c r="B19" s="2">
        <f t="shared" si="0"/>
        <v>0.9990889488055994</v>
      </c>
    </row>
    <row r="20" spans="1:2" x14ac:dyDescent="0.3">
      <c r="A20" s="2">
        <v>8</v>
      </c>
      <c r="B20" s="2">
        <f t="shared" si="0"/>
        <v>0.99966464986953363</v>
      </c>
    </row>
    <row r="21" spans="1:2" x14ac:dyDescent="0.3">
      <c r="A21" s="2">
        <v>9</v>
      </c>
      <c r="B21" s="2">
        <f t="shared" si="0"/>
        <v>0.99987660542401369</v>
      </c>
    </row>
    <row r="22" spans="1:2" x14ac:dyDescent="0.3">
      <c r="A22" s="2">
        <v>10</v>
      </c>
      <c r="B22" s="2">
        <f t="shared" si="0"/>
        <v>0.99995460213129761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Sigmoid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FRANC583</dc:creator>
  <cp:lastModifiedBy>Francis John Picaso</cp:lastModifiedBy>
  <dcterms:created xsi:type="dcterms:W3CDTF">2019-02-04T23:36:29Z</dcterms:created>
  <dcterms:modified xsi:type="dcterms:W3CDTF">2019-06-24T09:53:45Z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700311-1b20-487f-9129-30717d50ca8e_Enabled">
    <vt:lpwstr>True</vt:lpwstr>
  </property>
  <property fmtid="{D5CDD505-2E9C-101B-9397-08002B2CF9AE}" pid="3" name="MSIP_Label_9c700311-1b20-487f-9129-30717d50ca8e_SiteId">
    <vt:lpwstr>76e3921f-489b-4b7e-9547-9ea297add9b5</vt:lpwstr>
  </property>
  <property fmtid="{D5CDD505-2E9C-101B-9397-08002B2CF9AE}" pid="4" name="MSIP_Label_9c700311-1b20-487f-9129-30717d50ca8e_Owner">
    <vt:lpwstr>francis.john.picaso@towerswatson.com</vt:lpwstr>
  </property>
  <property fmtid="{D5CDD505-2E9C-101B-9397-08002B2CF9AE}" pid="5" name="MSIP_Label_9c700311-1b20-487f-9129-30717d50ca8e_SetDate">
    <vt:lpwstr>2019-06-16T09:57:21.3892446Z</vt:lpwstr>
  </property>
  <property fmtid="{D5CDD505-2E9C-101B-9397-08002B2CF9AE}" pid="6" name="MSIP_Label_9c700311-1b20-487f-9129-30717d50ca8e_Name">
    <vt:lpwstr>Confidential</vt:lpwstr>
  </property>
  <property fmtid="{D5CDD505-2E9C-101B-9397-08002B2CF9AE}" pid="7" name="MSIP_Label_9c700311-1b20-487f-9129-30717d50ca8e_Application">
    <vt:lpwstr>Microsoft Azure Information Protection</vt:lpwstr>
  </property>
  <property fmtid="{D5CDD505-2E9C-101B-9397-08002B2CF9AE}" pid="8" name="MSIP_Label_9c700311-1b20-487f-9129-30717d50ca8e_Extended_MSFT_Method">
    <vt:lpwstr>Automatic</vt:lpwstr>
  </property>
  <property fmtid="{D5CDD505-2E9C-101B-9397-08002B2CF9AE}" pid="9" name="MSIP_Label_d347b247-e90e-43a3-9d7b-004f14ae6873_Enabled">
    <vt:lpwstr>True</vt:lpwstr>
  </property>
  <property fmtid="{D5CDD505-2E9C-101B-9397-08002B2CF9AE}" pid="10" name="MSIP_Label_d347b247-e90e-43a3-9d7b-004f14ae6873_SiteId">
    <vt:lpwstr>76e3921f-489b-4b7e-9547-9ea297add9b5</vt:lpwstr>
  </property>
  <property fmtid="{D5CDD505-2E9C-101B-9397-08002B2CF9AE}" pid="11" name="MSIP_Label_d347b247-e90e-43a3-9d7b-004f14ae6873_Owner">
    <vt:lpwstr>francis.john.picaso@towerswatson.com</vt:lpwstr>
  </property>
  <property fmtid="{D5CDD505-2E9C-101B-9397-08002B2CF9AE}" pid="12" name="MSIP_Label_d347b247-e90e-43a3-9d7b-004f14ae6873_SetDate">
    <vt:lpwstr>2019-06-16T09:57:21.3892446Z</vt:lpwstr>
  </property>
  <property fmtid="{D5CDD505-2E9C-101B-9397-08002B2CF9AE}" pid="13" name="MSIP_Label_d347b247-e90e-43a3-9d7b-004f14ae6873_Name">
    <vt:lpwstr>Anyone (No Protection)</vt:lpwstr>
  </property>
  <property fmtid="{D5CDD505-2E9C-101B-9397-08002B2CF9AE}" pid="14" name="MSIP_Label_d347b247-e90e-43a3-9d7b-004f14ae6873_Application">
    <vt:lpwstr>Microsoft Azure Information Protection</vt:lpwstr>
  </property>
  <property fmtid="{D5CDD505-2E9C-101B-9397-08002B2CF9AE}" pid="15" name="MSIP_Label_d347b247-e90e-43a3-9d7b-004f14ae6873_Parent">
    <vt:lpwstr>9c700311-1b20-487f-9129-30717d50ca8e</vt:lpwstr>
  </property>
  <property fmtid="{D5CDD505-2E9C-101B-9397-08002B2CF9AE}" pid="16" name="MSIP_Label_d347b247-e90e-43a3-9d7b-004f14ae6873_Extended_MSFT_Method">
    <vt:lpwstr>Automatic</vt:lpwstr>
  </property>
  <property fmtid="{D5CDD505-2E9C-101B-9397-08002B2CF9AE}" pid="17" name="Sensitivity">
    <vt:lpwstr>Confidential Anyone (No Protection)</vt:lpwstr>
  </property>
</Properties>
</file>